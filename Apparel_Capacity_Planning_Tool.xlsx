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MV Master" sheetId="2" state="visible" r:id="rId4"/>
    <sheet name="Line Master" sheetId="3" state="visible" r:id="rId5"/>
    <sheet name="Order Book" sheetId="4" state="visible" r:id="rId6"/>
    <sheet name="Capacity Plan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<sst xmlns="http://schemas.openxmlformats.org/spreadsheetml/2006/main" count="120" uniqueCount="72">
  <si>
    <t xml:space="preserve">Apparel Line Loading &amp; Capacity Planning Tool</t>
  </si>
  <si>
    <t xml:space="preserve">Built for production/capacity planning — matches how planning executives track line loading in apparel manufacturing</t>
  </si>
  <si>
    <t xml:space="preserve">How this workbook works</t>
  </si>
  <si>
    <t xml:space="preserve">1. SMV Master</t>
  </si>
  <si>
    <t xml:space="preserve">Enter each style's SMV (Standard Minute Value) and target efficiency. This is the base data used to calculate required minutes for every order.</t>
  </si>
  <si>
    <t xml:space="preserve">2. Order Book</t>
  </si>
  <si>
    <t xml:space="preserve">Enter customer orders — style, quantity, assigned line, and planned week. SMV and required minutes are pulled in automatically.</t>
  </si>
  <si>
    <t xml:space="preserve">3. Line Master</t>
  </si>
  <si>
    <t xml:space="preserve">Enter each sewing line's operator count, working hours/days, and line efficiency %. This calculates each line's available capacity (minutes) per week.</t>
  </si>
  <si>
    <t xml:space="preserve">4. Capacity Plan</t>
  </si>
  <si>
    <t xml:space="preserve">Automatically compares required minutes (from Order Book) against available minutes (from Line Master) for each line/week, and flags overloaded weeks.</t>
  </si>
  <si>
    <t xml:space="preserve">5. Dashboard</t>
  </si>
  <si>
    <t xml:space="preserve">Visual summary of load % by line and week, with RAG (red-amber-green) status highlighting.</t>
  </si>
  <si>
    <t xml:space="preserve">Color legend</t>
  </si>
  <si>
    <t xml:space="preserve">Blue text = input cell (edit these)</t>
  </si>
  <si>
    <t xml:space="preserve">Black text = formula (do not overwrite)</t>
  </si>
  <si>
    <t xml:space="preserve">Yellow fill = key assumption to confirm/adjust</t>
  </si>
  <si>
    <t xml:space="preserve">Note: Sample data provided is illustrative/simulated for demonstration purposes.</t>
  </si>
  <si>
    <t xml:space="preserve">Style Code</t>
  </si>
  <si>
    <t xml:space="preserve">Style Name</t>
  </si>
  <si>
    <t xml:space="preserve">Garment Type</t>
  </si>
  <si>
    <t xml:space="preserve">No. of Operations</t>
  </si>
  <si>
    <t xml:space="preserve">SMV (min)</t>
  </si>
  <si>
    <t xml:space="preserve">Target Efficiency %</t>
  </si>
  <si>
    <t xml:space="preserve">STY-001</t>
  </si>
  <si>
    <t xml:space="preserve">Basic Crew Neck T-Shirt</t>
  </si>
  <si>
    <t xml:space="preserve">Knit Top</t>
  </si>
  <si>
    <t xml:space="preserve">STY-002</t>
  </si>
  <si>
    <t xml:space="preserve">Polo Shirt</t>
  </si>
  <si>
    <t xml:space="preserve">STY-003</t>
  </si>
  <si>
    <t xml:space="preserve">Basic Trouser</t>
  </si>
  <si>
    <t xml:space="preserve">Woven Bottom</t>
  </si>
  <si>
    <t xml:space="preserve">STY-004</t>
  </si>
  <si>
    <t xml:space="preserve">Denim Jacket</t>
  </si>
  <si>
    <t xml:space="preserve">Woven Outerwear</t>
  </si>
  <si>
    <t xml:space="preserve">Line No.</t>
  </si>
  <si>
    <t xml:space="preserve">No. of Operators</t>
  </si>
  <si>
    <t xml:space="preserve">Working Hours/Day</t>
  </si>
  <si>
    <t xml:space="preserve">Working Days/Week</t>
  </si>
  <si>
    <t xml:space="preserve">Line Efficiency %</t>
  </si>
  <si>
    <t xml:space="preserve">Available Min/Day</t>
  </si>
  <si>
    <t xml:space="preserve">Available Min/Week</t>
  </si>
  <si>
    <t xml:space="preserve">Line 1</t>
  </si>
  <si>
    <t xml:space="preserve">Line 2</t>
  </si>
  <si>
    <t xml:space="preserve">Line 3</t>
  </si>
  <si>
    <t xml:space="preserve">Order No.</t>
  </si>
  <si>
    <t xml:space="preserve">Order Qty</t>
  </si>
  <si>
    <t xml:space="preserve">Assigned Line</t>
  </si>
  <si>
    <t xml:space="preserve">Planned Week</t>
  </si>
  <si>
    <t xml:space="preserve">Required Minutes</t>
  </si>
  <si>
    <t xml:space="preserve">Delivery Date</t>
  </si>
  <si>
    <t xml:space="preserve">ORD-101</t>
  </si>
  <si>
    <t xml:space="preserve">W1</t>
  </si>
  <si>
    <t xml:space="preserve">2026-09-07</t>
  </si>
  <si>
    <t xml:space="preserve">ORD-102</t>
  </si>
  <si>
    <t xml:space="preserve">ORD-103</t>
  </si>
  <si>
    <t xml:space="preserve">ORD-104</t>
  </si>
  <si>
    <t xml:space="preserve">2026-09-14</t>
  </si>
  <si>
    <t xml:space="preserve">ORD-105</t>
  </si>
  <si>
    <t xml:space="preserve">W2</t>
  </si>
  <si>
    <t xml:space="preserve">ORD-106</t>
  </si>
  <si>
    <t xml:space="preserve">2026-09-21</t>
  </si>
  <si>
    <t xml:space="preserve">ORD-107</t>
  </si>
  <si>
    <t xml:space="preserve">ORD-108</t>
  </si>
  <si>
    <t xml:space="preserve">Week</t>
  </si>
  <si>
    <t xml:space="preserve">Available Minutes</t>
  </si>
  <si>
    <t xml:space="preserve">Load %</t>
  </si>
  <si>
    <t xml:space="preserve">Variance (Min)</t>
  </si>
  <si>
    <t xml:space="preserve">Status</t>
  </si>
  <si>
    <t xml:space="preserve">Line Loading Dashboard</t>
  </si>
  <si>
    <t xml:space="preserve">Summary of capacity vs. requirement by line and week</t>
  </si>
  <si>
    <t xml:space="preserve">Line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</si>
</sst>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Load % by Line /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</c:f>
              <c:strCache>
                <c:ptCount val="1"/>
                <c:pt idx="0">
                  <c:v>Load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Dashboard!$A$5:$A$10</c:f>
              <c:strCache>
                <c:ptCount val="6"/>
                <c:pt idx="0">
                  <c:v>Line 1</c:v>
                </c:pt>
                <c:pt idx="1">
                  <c:v>Line 1</c:v>
                </c:pt>
                <c:pt idx="2">
                  <c:v>Line 2</c:v>
                </c:pt>
                <c:pt idx="3">
                  <c:v>Line 2</c:v>
                </c:pt>
                <c:pt idx="4">
                  <c:v>Line 3</c:v>
                </c:pt>
                <c:pt idx="5">
                  <c:v>Line 3</c:v>
                </c:pt>
              </c:strCache>
            </c:strRef>
          </c:cat>
          <c:val>
            <c:numRef>
              <c:f>Dashboard!$C$5:$C$10</c:f>
              <c:numCache>
                <c:formatCode>0.0%</c:formatCode>
                <c:ptCount val="6"/>
                <c:pt idx="0">
                  <c:v>0.8691829004329</c:v>
                </c:pt>
                <c:pt idx="1">
                  <c:v>1.05406746031746</c:v>
                </c:pt>
                <c:pt idx="2">
                  <c:v>0.89771412037037</c:v>
                </c:pt>
                <c:pt idx="3">
                  <c:v>0.691550925925926</c:v>
                </c:pt>
                <c:pt idx="4">
                  <c:v>0.951388888888889</c:v>
                </c:pt>
                <c:pt idx="5">
                  <c:v>1.1033950617284</c:v>
                </c:pt>
              </c:numCache>
            </c:numRef>
          </c:val>
        </c:ser>
        <c:gapWidth val="150"/>
        <c:overlap val="0"/>
        <c:axId val="31947789"/>
        <c:axId val="33921285"/>
      </c:barChart>
      <c:catAx>
        <c:axId val="319477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Line -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21285"/>
        <c:crosses val="autoZero"/>
        <c:auto val="1"/>
        <c:lblAlgn val="ctr"/>
        <c:lblOffset val="100"/>
        <c:noMultiLvlLbl val="0"/>
      </c:catAx>
      <c:valAx>
        <c:axId val="33921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Load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477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364680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413568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5" t="s">
        <v>8</v>
      </c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5" t="s">
        <v>10</v>
      </c>
    </row>
    <row r="17" customFormat="false" ht="15" hidden="false" customHeight="false" outlineLevel="0" collapsed="false">
      <c r="A17" s="4" t="s">
        <v>11</v>
      </c>
    </row>
    <row r="18" customFormat="false" ht="15" hidden="false" customHeight="false" outlineLevel="0" collapsed="false">
      <c r="A18" s="5" t="s">
        <v>12</v>
      </c>
    </row>
    <row r="21" customFormat="false" ht="15" hidden="false" customHeight="false" outlineLevel="0" collapsed="false">
      <c r="A21" s="3" t="s">
        <v>13</v>
      </c>
    </row>
    <row r="22" customFormat="false" ht="15" hidden="false" customHeight="false" outlineLevel="0" collapsed="false">
      <c r="A22" s="6" t="s">
        <v>14</v>
      </c>
    </row>
    <row r="23" customFormat="false" ht="15" hidden="false" customHeight="false" outlineLevel="0" collapsed="false">
      <c r="A23" s="7" t="s">
        <v>15</v>
      </c>
    </row>
    <row r="24" customFormat="false" ht="15" hidden="false" customHeight="false" outlineLevel="0" collapsed="false">
      <c r="A24" s="8" t="s">
        <v>16</v>
      </c>
    </row>
    <row r="26" customFormat="false" ht="15" hidden="false" customHeight="false" outlineLevel="0" collapsed="false">
      <c r="A26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6"/>
  </cols>
  <sheetData>
    <row r="2" customFormat="false" ht="26.85" hidden="false" customHeight="false" outlineLevel="0" collapsed="false">
      <c r="A2" s="10" t="s">
        <v>18</v>
      </c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</row>
    <row r="3" customFormat="false" ht="15" hidden="false" customHeight="false" outlineLevel="0" collapsed="false">
      <c r="A3" s="11" t="s">
        <v>24</v>
      </c>
      <c r="B3" s="11" t="s">
        <v>25</v>
      </c>
      <c r="C3" s="11" t="s">
        <v>26</v>
      </c>
      <c r="D3" s="11" t="n">
        <v>12</v>
      </c>
      <c r="E3" s="12" t="n">
        <v>8.5</v>
      </c>
      <c r="F3" s="13" t="n">
        <v>0.65</v>
      </c>
    </row>
    <row r="4" customFormat="false" ht="15" hidden="false" customHeight="false" outlineLevel="0" collapsed="false">
      <c r="A4" s="11" t="s">
        <v>27</v>
      </c>
      <c r="B4" s="11" t="s">
        <v>28</v>
      </c>
      <c r="C4" s="11" t="s">
        <v>26</v>
      </c>
      <c r="D4" s="11" t="n">
        <v>18</v>
      </c>
      <c r="E4" s="12" t="n">
        <v>12.2</v>
      </c>
      <c r="F4" s="13" t="n">
        <v>0.6</v>
      </c>
    </row>
    <row r="5" customFormat="false" ht="15" hidden="false" customHeight="false" outlineLevel="0" collapsed="false">
      <c r="A5" s="11" t="s">
        <v>29</v>
      </c>
      <c r="B5" s="11" t="s">
        <v>30</v>
      </c>
      <c r="C5" s="11" t="s">
        <v>31</v>
      </c>
      <c r="D5" s="11" t="n">
        <v>22</v>
      </c>
      <c r="E5" s="12" t="n">
        <v>18</v>
      </c>
      <c r="F5" s="13" t="n">
        <v>0.55</v>
      </c>
    </row>
    <row r="6" customFormat="false" ht="15" hidden="false" customHeight="false" outlineLevel="0" collapsed="false">
      <c r="A6" s="11" t="s">
        <v>32</v>
      </c>
      <c r="B6" s="11" t="s">
        <v>33</v>
      </c>
      <c r="C6" s="11" t="s">
        <v>34</v>
      </c>
      <c r="D6" s="11" t="n">
        <v>35</v>
      </c>
      <c r="E6" s="12" t="n">
        <v>32.5</v>
      </c>
      <c r="F6" s="13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6"/>
    <col collapsed="false" customWidth="true" hidden="false" outlineLevel="0" max="7" min="7" style="0" width="18"/>
  </cols>
  <sheetData>
    <row r="2" customFormat="false" ht="26.85" hidden="false" customHeight="false" outlineLevel="0" collapsed="false">
      <c r="A2" s="10" t="s">
        <v>35</v>
      </c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40</v>
      </c>
      <c r="G2" s="10" t="s">
        <v>41</v>
      </c>
    </row>
    <row r="3" customFormat="false" ht="15" hidden="false" customHeight="false" outlineLevel="0" collapsed="false">
      <c r="A3" s="11" t="s">
        <v>42</v>
      </c>
      <c r="B3" s="12" t="n">
        <v>28</v>
      </c>
      <c r="C3" s="12" t="n">
        <v>8</v>
      </c>
      <c r="D3" s="12" t="n">
        <v>6</v>
      </c>
      <c r="E3" s="13" t="n">
        <v>0.55</v>
      </c>
      <c r="F3" s="14" t="n">
        <f aca="false">B3*C3*60*E3</f>
        <v>7392</v>
      </c>
      <c r="G3" s="14" t="n">
        <f aca="false">F3*D3</f>
        <v>44352</v>
      </c>
    </row>
    <row r="4" customFormat="false" ht="15" hidden="false" customHeight="false" outlineLevel="0" collapsed="false">
      <c r="A4" s="11" t="s">
        <v>43</v>
      </c>
      <c r="B4" s="12" t="n">
        <v>24</v>
      </c>
      <c r="C4" s="12" t="n">
        <v>8</v>
      </c>
      <c r="D4" s="12" t="n">
        <v>6</v>
      </c>
      <c r="E4" s="13" t="n">
        <v>0.5</v>
      </c>
      <c r="F4" s="14" t="n">
        <f aca="false">B4*C4*60*E4</f>
        <v>5760</v>
      </c>
      <c r="G4" s="14" t="n">
        <f aca="false">F4*D4</f>
        <v>34560</v>
      </c>
    </row>
    <row r="5" customFormat="false" ht="15" hidden="false" customHeight="false" outlineLevel="0" collapsed="false">
      <c r="A5" s="11" t="s">
        <v>44</v>
      </c>
      <c r="B5" s="12" t="n">
        <v>30</v>
      </c>
      <c r="C5" s="12" t="n">
        <v>8</v>
      </c>
      <c r="D5" s="12" t="n">
        <v>6</v>
      </c>
      <c r="E5" s="13" t="n">
        <v>0.6</v>
      </c>
      <c r="F5" s="14" t="n">
        <f aca="false">B5*C5*60*E5</f>
        <v>8640</v>
      </c>
      <c r="G5" s="14" t="n">
        <f aca="false">F5*D5</f>
        <v>51840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</cols>
  <sheetData>
    <row r="2" customFormat="false" ht="26.85" hidden="false" customHeight="false" outlineLevel="0" collapsed="false">
      <c r="A2" s="10" t="s">
        <v>45</v>
      </c>
      <c r="B2" s="10" t="s">
        <v>18</v>
      </c>
      <c r="C2" s="10" t="s">
        <v>19</v>
      </c>
      <c r="D2" s="10" t="s">
        <v>22</v>
      </c>
      <c r="E2" s="10" t="s">
        <v>46</v>
      </c>
      <c r="F2" s="10" t="s">
        <v>47</v>
      </c>
      <c r="G2" s="10" t="s">
        <v>48</v>
      </c>
      <c r="H2" s="10" t="s">
        <v>49</v>
      </c>
      <c r="I2" s="10" t="s">
        <v>50</v>
      </c>
    </row>
    <row r="3" customFormat="false" ht="15" hidden="false" customHeight="false" outlineLevel="0" collapsed="false">
      <c r="A3" s="12" t="s">
        <v>51</v>
      </c>
      <c r="B3" s="12" t="s">
        <v>24</v>
      </c>
      <c r="C3" s="11" t="str">
        <f aca="false">IFERROR(INDEX('SMV Master'!$B$3:$B$6,MATCH(B3,'SMV Master'!$A$3:$A$6,0)),"")</f>
        <v>Basic Crew Neck T-Shirt</v>
      </c>
      <c r="D3" s="11" t="n">
        <f aca="false">IFERROR(INDEX('SMV Master'!$E$3:$E$6,MATCH(B3,'SMV Master'!$A$3:$A$6,0)),"")</f>
        <v>8.5</v>
      </c>
      <c r="E3" s="12" t="n">
        <v>3100</v>
      </c>
      <c r="F3" s="12" t="s">
        <v>42</v>
      </c>
      <c r="G3" s="12" t="s">
        <v>52</v>
      </c>
      <c r="H3" s="14" t="n">
        <f aca="false">IFERROR(E3*D3,"")</f>
        <v>26350</v>
      </c>
      <c r="I3" s="15" t="s">
        <v>53</v>
      </c>
    </row>
    <row r="4" customFormat="false" ht="15" hidden="false" customHeight="false" outlineLevel="0" collapsed="false">
      <c r="A4" s="12" t="s">
        <v>54</v>
      </c>
      <c r="B4" s="12" t="s">
        <v>27</v>
      </c>
      <c r="C4" s="11" t="str">
        <f aca="false">IFERROR(INDEX('SMV Master'!$B$3:$B$6,MATCH(B4,'SMV Master'!$A$3:$A$6,0)),"")</f>
        <v>Polo Shirt</v>
      </c>
      <c r="D4" s="11" t="n">
        <f aca="false">IFERROR(INDEX('SMV Master'!$E$3:$E$6,MATCH(B4,'SMV Master'!$A$3:$A$6,0)),"")</f>
        <v>12.2</v>
      </c>
      <c r="E4" s="12" t="n">
        <v>1000</v>
      </c>
      <c r="F4" s="12" t="s">
        <v>42</v>
      </c>
      <c r="G4" s="12" t="s">
        <v>52</v>
      </c>
      <c r="H4" s="14" t="n">
        <f aca="false">IFERROR(E4*D4,"")</f>
        <v>12200</v>
      </c>
      <c r="I4" s="15" t="s">
        <v>53</v>
      </c>
    </row>
    <row r="5" customFormat="false" ht="15" hidden="false" customHeight="false" outlineLevel="0" collapsed="false">
      <c r="A5" s="12" t="s">
        <v>55</v>
      </c>
      <c r="B5" s="12" t="s">
        <v>24</v>
      </c>
      <c r="C5" s="11" t="str">
        <f aca="false">IFERROR(INDEX('SMV Master'!$B$3:$B$6,MATCH(B5,'SMV Master'!$A$3:$A$6,0)),"")</f>
        <v>Basic Crew Neck T-Shirt</v>
      </c>
      <c r="D5" s="11" t="n">
        <f aca="false">IFERROR(INDEX('SMV Master'!$E$3:$E$6,MATCH(B5,'SMV Master'!$A$3:$A$6,0)),"")</f>
        <v>8.5</v>
      </c>
      <c r="E5" s="12" t="n">
        <v>3650</v>
      </c>
      <c r="F5" s="12" t="s">
        <v>43</v>
      </c>
      <c r="G5" s="12" t="s">
        <v>52</v>
      </c>
      <c r="H5" s="14" t="n">
        <f aca="false">IFERROR(E5*D5,"")</f>
        <v>31025</v>
      </c>
      <c r="I5" s="15" t="s">
        <v>53</v>
      </c>
    </row>
    <row r="6" customFormat="false" ht="15" hidden="false" customHeight="false" outlineLevel="0" collapsed="false">
      <c r="A6" s="12" t="s">
        <v>56</v>
      </c>
      <c r="B6" s="12" t="s">
        <v>29</v>
      </c>
      <c r="C6" s="11" t="str">
        <f aca="false">IFERROR(INDEX('SMV Master'!$B$3:$B$6,MATCH(B6,'SMV Master'!$A$3:$A$6,0)),"")</f>
        <v>Basic Trouser</v>
      </c>
      <c r="D6" s="11" t="n">
        <f aca="false">IFERROR(INDEX('SMV Master'!$E$3:$E$6,MATCH(B6,'SMV Master'!$A$3:$A$6,0)),"")</f>
        <v>18</v>
      </c>
      <c r="E6" s="12" t="n">
        <v>2740</v>
      </c>
      <c r="F6" s="12" t="s">
        <v>44</v>
      </c>
      <c r="G6" s="12" t="s">
        <v>52</v>
      </c>
      <c r="H6" s="14" t="n">
        <f aca="false">IFERROR(E6*D6,"")</f>
        <v>49320</v>
      </c>
      <c r="I6" s="15" t="s">
        <v>57</v>
      </c>
    </row>
    <row r="7" customFormat="false" ht="15" hidden="false" customHeight="false" outlineLevel="0" collapsed="false">
      <c r="A7" s="12" t="s">
        <v>58</v>
      </c>
      <c r="B7" s="12" t="s">
        <v>27</v>
      </c>
      <c r="C7" s="11" t="str">
        <f aca="false">IFERROR(INDEX('SMV Master'!$B$3:$B$6,MATCH(B7,'SMV Master'!$A$3:$A$6,0)),"")</f>
        <v>Polo Shirt</v>
      </c>
      <c r="D7" s="11" t="n">
        <f aca="false">IFERROR(INDEX('SMV Master'!$E$3:$E$6,MATCH(B7,'SMV Master'!$A$3:$A$6,0)),"")</f>
        <v>12.2</v>
      </c>
      <c r="E7" s="12" t="n">
        <v>1000</v>
      </c>
      <c r="F7" s="12" t="s">
        <v>43</v>
      </c>
      <c r="G7" s="12" t="s">
        <v>59</v>
      </c>
      <c r="H7" s="14" t="n">
        <f aca="false">IFERROR(E7*D7,"")</f>
        <v>12200</v>
      </c>
      <c r="I7" s="15" t="s">
        <v>57</v>
      </c>
    </row>
    <row r="8" customFormat="false" ht="15" hidden="false" customHeight="false" outlineLevel="0" collapsed="false">
      <c r="A8" s="12" t="s">
        <v>60</v>
      </c>
      <c r="B8" s="12" t="s">
        <v>32</v>
      </c>
      <c r="C8" s="11" t="str">
        <f aca="false">IFERROR(INDEX('SMV Master'!$B$3:$B$6,MATCH(B8,'SMV Master'!$A$3:$A$6,0)),"")</f>
        <v>Denim Jacket</v>
      </c>
      <c r="D8" s="11" t="n">
        <f aca="false">IFERROR(INDEX('SMV Master'!$E$3:$E$6,MATCH(B8,'SMV Master'!$A$3:$A$6,0)),"")</f>
        <v>32.5</v>
      </c>
      <c r="E8" s="12" t="n">
        <v>1760</v>
      </c>
      <c r="F8" s="12" t="s">
        <v>44</v>
      </c>
      <c r="G8" s="12" t="s">
        <v>59</v>
      </c>
      <c r="H8" s="14" t="n">
        <f aca="false">IFERROR(E8*D8,"")</f>
        <v>57200</v>
      </c>
      <c r="I8" s="15" t="s">
        <v>61</v>
      </c>
    </row>
    <row r="9" customFormat="false" ht="15" hidden="false" customHeight="false" outlineLevel="0" collapsed="false">
      <c r="A9" s="12" t="s">
        <v>62</v>
      </c>
      <c r="B9" s="12" t="s">
        <v>24</v>
      </c>
      <c r="C9" s="11" t="str">
        <f aca="false">IFERROR(INDEX('SMV Master'!$B$3:$B$6,MATCH(B9,'SMV Master'!$A$3:$A$6,0)),"")</f>
        <v>Basic Crew Neck T-Shirt</v>
      </c>
      <c r="D9" s="11" t="n">
        <f aca="false">IFERROR(INDEX('SMV Master'!$E$3:$E$6,MATCH(B9,'SMV Master'!$A$3:$A$6,0)),"")</f>
        <v>8.5</v>
      </c>
      <c r="E9" s="12" t="n">
        <v>5500</v>
      </c>
      <c r="F9" s="12" t="s">
        <v>42</v>
      </c>
      <c r="G9" s="12" t="s">
        <v>59</v>
      </c>
      <c r="H9" s="14" t="n">
        <f aca="false">IFERROR(E9*D9,"")</f>
        <v>46750</v>
      </c>
      <c r="I9" s="15" t="s">
        <v>61</v>
      </c>
    </row>
    <row r="10" customFormat="false" ht="15" hidden="false" customHeight="false" outlineLevel="0" collapsed="false">
      <c r="A10" s="12" t="s">
        <v>63</v>
      </c>
      <c r="B10" s="12" t="s">
        <v>29</v>
      </c>
      <c r="C10" s="11" t="str">
        <f aca="false">IFERROR(INDEX('SMV Master'!$B$3:$B$6,MATCH(B10,'SMV Master'!$A$3:$A$6,0)),"")</f>
        <v>Basic Trouser</v>
      </c>
      <c r="D10" s="11" t="n">
        <f aca="false">IFERROR(INDEX('SMV Master'!$E$3:$E$6,MATCH(B10,'SMV Master'!$A$3:$A$6,0)),"")</f>
        <v>18</v>
      </c>
      <c r="E10" s="12" t="n">
        <v>650</v>
      </c>
      <c r="F10" s="12" t="s">
        <v>43</v>
      </c>
      <c r="G10" s="12" t="s">
        <v>59</v>
      </c>
      <c r="H10" s="14" t="n">
        <f aca="false">IFERROR(E10*D10,"")</f>
        <v>11700</v>
      </c>
      <c r="I10" s="1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16"/>
  </cols>
  <sheetData>
    <row r="2" customFormat="false" ht="26.85" hidden="false" customHeight="false" outlineLevel="0" collapsed="false">
      <c r="A2" s="10" t="s">
        <v>35</v>
      </c>
      <c r="B2" s="10" t="s">
        <v>64</v>
      </c>
      <c r="C2" s="10" t="s">
        <v>65</v>
      </c>
      <c r="D2" s="10" t="s">
        <v>49</v>
      </c>
      <c r="E2" s="10" t="s">
        <v>66</v>
      </c>
      <c r="F2" s="10" t="s">
        <v>67</v>
      </c>
      <c r="G2" s="10" t="s">
        <v>68</v>
      </c>
    </row>
    <row r="3" customFormat="false" ht="15" hidden="false" customHeight="false" outlineLevel="0" collapsed="false">
      <c r="A3" s="12" t="s">
        <v>42</v>
      </c>
      <c r="B3" s="12" t="s">
        <v>52</v>
      </c>
      <c r="C3" s="14" t="n">
        <f aca="false">IFERROR(INDEX('Line Master'!$G$3:$G$5,MATCH(A3,'Line Master'!$A$3:$A$5,0)),"")</f>
        <v>44352</v>
      </c>
      <c r="D3" s="14" t="n">
        <f aca="false">SUMIFS('Order Book'!$H$3:$H$10,'Order Book'!$F$3:$F$10,A3,'Order Book'!$G$3:$G$10,B3)</f>
        <v>38550</v>
      </c>
      <c r="E3" s="16" t="n">
        <f aca="false">IFERROR(D3/C3,0)</f>
        <v>0.8691829004329</v>
      </c>
      <c r="F3" s="14" t="n">
        <f aca="false">C3-D3</f>
        <v>5802.00000000001</v>
      </c>
      <c r="G3" s="11" t="str">
        <f aca="false">IF(C3=0,"NO DATA",IF(E3&gt;1,"OVERLOADED",IF(E3&gt;=0.85,"OK",IF(E3&gt;0,"UNDERLOADED","NO ORDERS"))))</f>
        <v>OK</v>
      </c>
    </row>
    <row r="4" customFormat="false" ht="15" hidden="false" customHeight="false" outlineLevel="0" collapsed="false">
      <c r="A4" s="12" t="s">
        <v>42</v>
      </c>
      <c r="B4" s="12" t="s">
        <v>59</v>
      </c>
      <c r="C4" s="14" t="n">
        <f aca="false">IFERROR(INDEX('Line Master'!$G$3:$G$5,MATCH(A4,'Line Master'!$A$3:$A$5,0)),"")</f>
        <v>44352</v>
      </c>
      <c r="D4" s="14" t="n">
        <f aca="false">SUMIFS('Order Book'!$H$3:$H$10,'Order Book'!$F$3:$F$10,A4,'Order Book'!$G$3:$G$10,B4)</f>
        <v>46750</v>
      </c>
      <c r="E4" s="16" t="n">
        <f aca="false">IFERROR(D4/C4,0)</f>
        <v>1.05406746031746</v>
      </c>
      <c r="F4" s="14" t="n">
        <f aca="false">C4-D4</f>
        <v>-2397.99999999999</v>
      </c>
      <c r="G4" s="11" t="str">
        <f aca="false">IF(C4=0,"NO DATA",IF(E4&gt;1,"OVERLOADED",IF(E4&gt;=0.85,"OK",IF(E4&gt;0,"UNDERLOADED","NO ORDERS"))))</f>
        <v>OVERLOADED</v>
      </c>
    </row>
    <row r="5" customFormat="false" ht="15" hidden="false" customHeight="false" outlineLevel="0" collapsed="false">
      <c r="A5" s="12" t="s">
        <v>43</v>
      </c>
      <c r="B5" s="12" t="s">
        <v>52</v>
      </c>
      <c r="C5" s="14" t="n">
        <f aca="false">IFERROR(INDEX('Line Master'!$G$3:$G$5,MATCH(A5,'Line Master'!$A$3:$A$5,0)),"")</f>
        <v>34560</v>
      </c>
      <c r="D5" s="14" t="n">
        <f aca="false">SUMIFS('Order Book'!$H$3:$H$10,'Order Book'!$F$3:$F$10,A5,'Order Book'!$G$3:$G$10,B5)</f>
        <v>31025</v>
      </c>
      <c r="E5" s="16" t="n">
        <f aca="false">IFERROR(D5/C5,0)</f>
        <v>0.89771412037037</v>
      </c>
      <c r="F5" s="14" t="n">
        <f aca="false">C5-D5</f>
        <v>3535</v>
      </c>
      <c r="G5" s="11" t="str">
        <f aca="false">IF(C5=0,"NO DATA",IF(E5&gt;1,"OVERLOADED",IF(E5&gt;=0.85,"OK",IF(E5&gt;0,"UNDERLOADED","NO ORDERS"))))</f>
        <v>OK</v>
      </c>
    </row>
    <row r="6" customFormat="false" ht="15" hidden="false" customHeight="false" outlineLevel="0" collapsed="false">
      <c r="A6" s="12" t="s">
        <v>43</v>
      </c>
      <c r="B6" s="12" t="s">
        <v>59</v>
      </c>
      <c r="C6" s="14" t="n">
        <f aca="false">IFERROR(INDEX('Line Master'!$G$3:$G$5,MATCH(A6,'Line Master'!$A$3:$A$5,0)),"")</f>
        <v>34560</v>
      </c>
      <c r="D6" s="14" t="n">
        <f aca="false">SUMIFS('Order Book'!$H$3:$H$10,'Order Book'!$F$3:$F$10,A6,'Order Book'!$G$3:$G$10,B6)</f>
        <v>23900</v>
      </c>
      <c r="E6" s="16" t="n">
        <f aca="false">IFERROR(D6/C6,0)</f>
        <v>0.691550925925926</v>
      </c>
      <c r="F6" s="14" t="n">
        <f aca="false">C6-D6</f>
        <v>10660</v>
      </c>
      <c r="G6" s="11" t="str">
        <f aca="false">IF(C6=0,"NO DATA",IF(E6&gt;1,"OVERLOADED",IF(E6&gt;=0.85,"OK",IF(E6&gt;0,"UNDERLOADED","NO ORDERS"))))</f>
        <v>UNDERLOADED</v>
      </c>
    </row>
    <row r="7" customFormat="false" ht="15" hidden="false" customHeight="false" outlineLevel="0" collapsed="false">
      <c r="A7" s="12" t="s">
        <v>44</v>
      </c>
      <c r="B7" s="12" t="s">
        <v>52</v>
      </c>
      <c r="C7" s="14" t="n">
        <f aca="false">IFERROR(INDEX('Line Master'!$G$3:$G$5,MATCH(A7,'Line Master'!$A$3:$A$5,0)),"")</f>
        <v>51840</v>
      </c>
      <c r="D7" s="14" t="n">
        <f aca="false">SUMIFS('Order Book'!$H$3:$H$10,'Order Book'!$F$3:$F$10,A7,'Order Book'!$G$3:$G$10,B7)</f>
        <v>49320</v>
      </c>
      <c r="E7" s="16" t="n">
        <f aca="false">IFERROR(D7/C7,0)</f>
        <v>0.951388888888889</v>
      </c>
      <c r="F7" s="14" t="n">
        <f aca="false">C7-D7</f>
        <v>2520</v>
      </c>
      <c r="G7" s="11" t="str">
        <f aca="false">IF(C7=0,"NO DATA",IF(E7&gt;1,"OVERLOADED",IF(E7&gt;=0.85,"OK",IF(E7&gt;0,"UNDERLOADED","NO ORDERS"))))</f>
        <v>OK</v>
      </c>
    </row>
    <row r="8" customFormat="false" ht="15" hidden="false" customHeight="false" outlineLevel="0" collapsed="false">
      <c r="A8" s="12" t="s">
        <v>44</v>
      </c>
      <c r="B8" s="12" t="s">
        <v>59</v>
      </c>
      <c r="C8" s="14" t="n">
        <f aca="false">IFERROR(INDEX('Line Master'!$G$3:$G$5,MATCH(A8,'Line Master'!$A$3:$A$5,0)),"")</f>
        <v>51840</v>
      </c>
      <c r="D8" s="14" t="n">
        <f aca="false">SUMIFS('Order Book'!$H$3:$H$10,'Order Book'!$F$3:$F$10,A8,'Order Book'!$G$3:$G$10,B8)</f>
        <v>57200</v>
      </c>
      <c r="E8" s="16" t="n">
        <f aca="false">IFERROR(D8/C8,0)</f>
        <v>1.1033950617284</v>
      </c>
      <c r="F8" s="14" t="n">
        <f aca="false">C8-D8</f>
        <v>-5360</v>
      </c>
      <c r="G8" s="11" t="str">
        <f aca="false">IF(C8=0,"NO DATA",IF(E8&gt;1,"OVERLOADED",IF(E8&gt;=0.85,"OK",IF(E8&gt;0,"UNDERLOADED","NO ORDERS"))))</f>
        <v>OVERLOADED</v>
      </c>
    </row>
  </sheetData>
  <conditionalFormatting sqref="G3:G8">
    <cfRule type="cellIs" priority="2" operator="equal" aboveAverage="0" equalAverage="0" bottom="0" percent="0" rank="0" text="" dxfId="0">
      <formula>"OVERLOADED"</formula>
    </cfRule>
    <cfRule type="cellIs" priority="3" operator="equal" aboveAverage="0" equalAverage="0" bottom="0" percent="0" rank="0" text="" dxfId="1">
      <formula>"OK"</formula>
    </cfRule>
    <cfRule type="cellIs" priority="4" operator="equal" aboveAverage="0" equalAverage="0" bottom="0" percent="0" rank="0" text="" dxfId="2">
      <formula>"UNDERLOADED"</formula>
    </cfRule>
  </conditionalFormatting>
  <conditionalFormatting sqref="E3:E8">
    <cfRule type="expression" priority="5" aboveAverage="0" equalAverage="0" bottom="0" percent="0" rank="0" text="" dxfId="0">
      <formula>E3&gt;1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10" t="s">
        <v>71</v>
      </c>
      <c r="B4" s="10" t="s">
        <v>64</v>
      </c>
      <c r="C4" s="10" t="s">
        <v>66</v>
      </c>
      <c r="D4" s="10" t="s">
        <v>68</v>
      </c>
    </row>
    <row r="5" customFormat="false" ht="15" hidden="false" customHeight="false" outlineLevel="0" collapsed="false">
      <c r="A5" s="11" t="str">
        <f aca="false">'Capacity Plan'!A3</f>
        <v>Line 1</v>
      </c>
      <c r="B5" s="11" t="str">
        <f aca="false">'Capacity Plan'!B3</f>
        <v>W1</v>
      </c>
      <c r="C5" s="16" t="n">
        <f aca="false">'Capacity Plan'!E3</f>
        <v>0.8691829004329</v>
      </c>
      <c r="D5" s="11" t="str">
        <f aca="false">'Capacity Plan'!G3</f>
        <v>OK</v>
      </c>
    </row>
    <row r="6" customFormat="false" ht="15" hidden="false" customHeight="false" outlineLevel="0" collapsed="false">
      <c r="A6" s="11" t="str">
        <f aca="false">'Capacity Plan'!A4</f>
        <v>Line 1</v>
      </c>
      <c r="B6" s="11" t="str">
        <f aca="false">'Capacity Plan'!B4</f>
        <v>W2</v>
      </c>
      <c r="C6" s="16" t="n">
        <f aca="false">'Capacity Plan'!E4</f>
        <v>1.05406746031746</v>
      </c>
      <c r="D6" s="11" t="str">
        <f aca="false">'Capacity Plan'!G4</f>
        <v>OVERLOADED</v>
      </c>
    </row>
    <row r="7" customFormat="false" ht="15" hidden="false" customHeight="false" outlineLevel="0" collapsed="false">
      <c r="A7" s="11" t="str">
        <f aca="false">'Capacity Plan'!A5</f>
        <v>Line 2</v>
      </c>
      <c r="B7" s="11" t="str">
        <f aca="false">'Capacity Plan'!B5</f>
        <v>W1</v>
      </c>
      <c r="C7" s="16" t="n">
        <f aca="false">'Capacity Plan'!E5</f>
        <v>0.89771412037037</v>
      </c>
      <c r="D7" s="11" t="str">
        <f aca="false">'Capacity Plan'!G5</f>
        <v>OK</v>
      </c>
    </row>
    <row r="8" customFormat="false" ht="15" hidden="false" customHeight="false" outlineLevel="0" collapsed="false">
      <c r="A8" s="11" t="str">
        <f aca="false">'Capacity Plan'!A6</f>
        <v>Line 2</v>
      </c>
      <c r="B8" s="11" t="str">
        <f aca="false">'Capacity Plan'!B6</f>
        <v>W2</v>
      </c>
      <c r="C8" s="16" t="n">
        <f aca="false">'Capacity Plan'!E6</f>
        <v>0.691550925925926</v>
      </c>
      <c r="D8" s="11" t="str">
        <f aca="false">'Capacity Plan'!G6</f>
        <v>UNDERLOADED</v>
      </c>
    </row>
    <row r="9" customFormat="false" ht="15" hidden="false" customHeight="false" outlineLevel="0" collapsed="false">
      <c r="A9" s="11" t="str">
        <f aca="false">'Capacity Plan'!A7</f>
        <v>Line 3</v>
      </c>
      <c r="B9" s="11" t="str">
        <f aca="false">'Capacity Plan'!B7</f>
        <v>W1</v>
      </c>
      <c r="C9" s="16" t="n">
        <f aca="false">'Capacity Plan'!E7</f>
        <v>0.951388888888889</v>
      </c>
      <c r="D9" s="11" t="str">
        <f aca="false">'Capacity Plan'!G7</f>
        <v>OK</v>
      </c>
    </row>
    <row r="10" customFormat="false" ht="15" hidden="false" customHeight="false" outlineLevel="0" collapsed="false">
      <c r="A10" s="11" t="str">
        <f aca="false">'Capacity Plan'!A8</f>
        <v>Line 3</v>
      </c>
      <c r="B10" s="11" t="str">
        <f aca="false">'Capacity Plan'!B8</f>
        <v>W2</v>
      </c>
      <c r="C10" s="16" t="n">
        <f aca="false">'Capacity Plan'!E8</f>
        <v>1.1033950617284</v>
      </c>
      <c r="D10" s="11" t="str">
        <f aca="false">'Capacity Plan'!G8</f>
        <v>OVERLOADED</v>
      </c>
    </row>
  </sheetData>
  <conditionalFormatting sqref="D5:D10">
    <cfRule type="cellIs" priority="2" operator="equal" aboveAverage="0" equalAverage="0" bottom="0" percent="0" rank="0" text="" dxfId="0">
      <formula>"OVERLOADED"</formula>
    </cfRule>
    <cfRule type="cellIs" priority="3" operator="equal" aboveAverage="0" equalAverage="0" bottom="0" percent="0" rank="0" text="" dxfId="1">
      <formula>"OK"</formula>
    </cfRule>
    <cfRule type="cellIs" priority="4" operator="equal" aboveAverage="0" equalAverage="0" bottom="0" percent="0" rank="0" text="" dxfId="2">
      <formula>"UNDERLOADED"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2026-08-17T11:08:20Z</dcterms:created>
  <dc:creator>openpyxl</dc:creator>
  <dc:description/>
  <dc:language>en-US</dc:language>
  <cp:lastModifiedBy/>
  <dcterms:modified xsi:type="dcterms:W3CDTF">2026-08-17T11:08:23Z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