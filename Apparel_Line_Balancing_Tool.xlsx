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peration Breakdown" sheetId="2" state="visible" r:id="rId4"/>
    <sheet name="Line Balance - Before" sheetId="3" state="visible" r:id="rId5"/>
    <sheet name="Line Balance - After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<sst xmlns="http://schemas.openxmlformats.org/spreadsheetml/2006/main" count="138" uniqueCount="86">
  <si>
    <t xml:space="preserve">Line Balancing &amp; SMV Breakdown Tool</t>
  </si>
  <si>
    <t xml:space="preserve">Operation-level SMV breakdown, workstation assignment, and balance efficiency analysis for a basic crew-neck T-shirt</t>
  </si>
  <si>
    <t xml:space="preserve">What this tool shows</t>
  </si>
  <si>
    <t xml:space="preserve">1. Operation Breakdown</t>
  </si>
  <si>
    <t xml:space="preserve">Every sewing operation for the garment, its SMV (Standard Minute Value), and its assigned workstation — both the original ('Before') layout and a rebalanced ('After') layout.</t>
  </si>
  <si>
    <t xml:space="preserve">2. Line Balance - Before</t>
  </si>
  <si>
    <t xml:space="preserve">Groups operations into their original stations, totals SMV per station, and identifies the bottleneck station (the slowest one, which sets the pace for the whole line).</t>
  </si>
  <si>
    <t xml:space="preserve">3. Line Balance - After</t>
  </si>
  <si>
    <t xml:space="preserve">Same structure, using a rebalanced station assignment designed to even out workload and reduce the bottleneck.</t>
  </si>
  <si>
    <t xml:space="preserve">4. Dashboard</t>
  </si>
  <si>
    <t xml:space="preserve">Before vs. after comparison: station times, bottleneck, and overall Balance Efficiency %.</t>
  </si>
  <si>
    <t xml:space="preserve">Key formula</t>
  </si>
  <si>
    <t xml:space="preserve">Balance Efficiency % = Total SMV (all operations) ÷ (No. of Stations × Bottleneck Station Time)</t>
  </si>
  <si>
    <t xml:space="preserve">A higher % means workload is more evenly spread; the bottleneck station is what limits line output.</t>
  </si>
  <si>
    <t xml:space="preserve">Color legend</t>
  </si>
  <si>
    <t xml:space="preserve">Blue text = input cell (edit these)</t>
  </si>
  <si>
    <t xml:space="preserve">Black text = formula (do not overwrite)</t>
  </si>
  <si>
    <t xml:space="preserve">Yellow fill = key assumption to confirm/adjust</t>
  </si>
  <si>
    <t xml:space="preserve">Note: SMV values are illustrative estimates based on general apparel IE references, for demonstration purposes — not sourced from a real factory's time study.</t>
  </si>
  <si>
    <t xml:space="preserve">Op No.</t>
  </si>
  <si>
    <t xml:space="preserve">Operation Name</t>
  </si>
  <si>
    <t xml:space="preserve">Machine Type</t>
  </si>
  <si>
    <t xml:space="preserve">SMV (min)</t>
  </si>
  <si>
    <t xml:space="preserve">Station (Before)</t>
  </si>
  <si>
    <t xml:space="preserve">Station (After)</t>
  </si>
  <si>
    <t xml:space="preserve">OP01</t>
  </si>
  <si>
    <t xml:space="preserve">Shoulder join</t>
  </si>
  <si>
    <t xml:space="preserve">Overlock</t>
  </si>
  <si>
    <t xml:space="preserve">St1</t>
  </si>
  <si>
    <t xml:space="preserve">St4</t>
  </si>
  <si>
    <t xml:space="preserve">OP02</t>
  </si>
  <si>
    <t xml:space="preserve">Neck rib attach</t>
  </si>
  <si>
    <t xml:space="preserve">St2</t>
  </si>
  <si>
    <t xml:space="preserve">OP03</t>
  </si>
  <si>
    <t xml:space="preserve">Neck rib join</t>
  </si>
  <si>
    <t xml:space="preserve">Flatlock</t>
  </si>
  <si>
    <t xml:space="preserve">St5</t>
  </si>
  <si>
    <t xml:space="preserve">OP04</t>
  </si>
  <si>
    <t xml:space="preserve">Neck top stitch</t>
  </si>
  <si>
    <t xml:space="preserve">OP05</t>
  </si>
  <si>
    <t xml:space="preserve">Sleeve attach (L)</t>
  </si>
  <si>
    <t xml:space="preserve">OP06</t>
  </si>
  <si>
    <t xml:space="preserve">Sleeve attach (R)</t>
  </si>
  <si>
    <t xml:space="preserve">St3</t>
  </si>
  <si>
    <t xml:space="preserve">OP07</t>
  </si>
  <si>
    <t xml:space="preserve">Side seam (L)</t>
  </si>
  <si>
    <t xml:space="preserve">OP08</t>
  </si>
  <si>
    <t xml:space="preserve">Side seam (R)</t>
  </si>
  <si>
    <t xml:space="preserve">OP09</t>
  </si>
  <si>
    <t xml:space="preserve">Sleeve hem (L)</t>
  </si>
  <si>
    <t xml:space="preserve">OP10</t>
  </si>
  <si>
    <t xml:space="preserve">Sleeve hem (R)</t>
  </si>
  <si>
    <t xml:space="preserve">OP11</t>
  </si>
  <si>
    <t xml:space="preserve">Bottom hem</t>
  </si>
  <si>
    <t xml:space="preserve">OP12</t>
  </si>
  <si>
    <t xml:space="preserve">Label attach + trimming</t>
  </si>
  <si>
    <t xml:space="preserve">Single Needle</t>
  </si>
  <si>
    <t xml:space="preserve">Total SMV:</t>
  </si>
  <si>
    <t xml:space="preserve">Station</t>
  </si>
  <si>
    <t xml:space="preserve">Operations Assigned</t>
  </si>
  <si>
    <t xml:space="preserve">Station Time (min)</t>
  </si>
  <si>
    <t xml:space="preserve">Idle Time vs Bottleneck (min)</t>
  </si>
  <si>
    <t xml:space="preserve">OP01, OP02, OP03</t>
  </si>
  <si>
    <t xml:space="preserve">OP04, OP05</t>
  </si>
  <si>
    <t xml:space="preserve">OP06, OP07</t>
  </si>
  <si>
    <t xml:space="preserve">OP08, OP09, OP10</t>
  </si>
  <si>
    <t xml:space="preserve">OP11, OP12</t>
  </si>
  <si>
    <t xml:space="preserve">Total SMV (all ops):</t>
  </si>
  <si>
    <t xml:space="preserve">No. of Stations:</t>
  </si>
  <si>
    <t xml:space="preserve">Bottleneck Station Time (min):</t>
  </si>
  <si>
    <t xml:space="preserve">Balance Efficiency %:</t>
  </si>
  <si>
    <t xml:space="preserve">OP09, OP12</t>
  </si>
  <si>
    <t xml:space="preserve">OP02, OP11</t>
  </si>
  <si>
    <t xml:space="preserve">OP07, OP08</t>
  </si>
  <si>
    <t xml:space="preserve">OP01, OP04, OP10</t>
  </si>
  <si>
    <t xml:space="preserve">OP03, OP05, OP06</t>
  </si>
  <si>
    <t xml:space="preserve">Line Balancing Dashboard</t>
  </si>
  <si>
    <t xml:space="preserve">Before vs. After rebalancing — basic crew-neck T-shirt line</t>
  </si>
  <si>
    <t xml:space="preserve">Time - Before (min)</t>
  </si>
  <si>
    <t xml:space="preserve">Time - After (min)</t>
  </si>
  <si>
    <t xml:space="preserve">Metric</t>
  </si>
  <si>
    <t xml:space="preserve">Before</t>
  </si>
  <si>
    <t xml:space="preserve">After</t>
  </si>
  <si>
    <t xml:space="preserve">Bottleneck Station Time (min)</t>
  </si>
  <si>
    <t xml:space="preserve">Balance Efficiency %</t>
  </si>
  <si>
    <t xml:space="preserve">Efficiency Improvement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</si>
</sst>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\+0.0%;\-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Station Time: Before vs After Rebalancing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Time - Before (min)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Dashboard!$A$5:$A$9</c:f>
              <c:strCache>
                <c:ptCount val="5"/>
                <c:pt idx="0">
                  <c:v>St1</c:v>
                </c:pt>
                <c:pt idx="1">
                  <c:v>St2</c:v>
                </c:pt>
                <c:pt idx="2">
                  <c:v>St3</c:v>
                </c:pt>
                <c:pt idx="3">
                  <c:v>St4</c:v>
                </c:pt>
                <c:pt idx="4">
                  <c:v>St5</c:v>
                </c:pt>
              </c:strCache>
            </c:strRef>
          </c:cat>
          <c:val>
            <c:numRef>
              <c:f>Dashboard!$B$5:$B$9</c:f>
              <c:numCache>
                <c:formatCode>0.00</c:formatCode>
                <c:ptCount val="5"/>
                <c:pt idx="0">
                  <c:v>1.45</c:v>
                </c:pt>
                <c:pt idx="1">
                  <c:v>1.5</c:v>
                </c:pt>
                <c:pt idx="2">
                  <c:v>1.6</c:v>
                </c:pt>
                <c:pt idx="3">
                  <c:v>1.75</c:v>
                </c:pt>
                <c:pt idx="4">
                  <c:v>2.2</c:v>
                </c:pt>
              </c:numCache>
            </c:numRef>
          </c:val>
        </c:ser>
        <c:ser>
          <c:idx val="1"/>
          <c:order val="1"/>
          <c:tx>
            <c:strRef>
              <c:f>Dashboard!C4</c:f>
              <c:strCache>
                <c:ptCount val="1"/>
                <c:pt idx="0">
                  <c:v>Time - After (min)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Dashboard!$A$5:$A$9</c:f>
              <c:strCache>
                <c:ptCount val="5"/>
                <c:pt idx="0">
                  <c:v>St1</c:v>
                </c:pt>
                <c:pt idx="1">
                  <c:v>St2</c:v>
                </c:pt>
                <c:pt idx="2">
                  <c:v>St3</c:v>
                </c:pt>
                <c:pt idx="3">
                  <c:v>St4</c:v>
                </c:pt>
                <c:pt idx="4">
                  <c:v>St5</c:v>
                </c:pt>
              </c:strCache>
            </c:strRef>
          </c:cat>
          <c:val>
            <c:numRef>
              <c:f>Dashboard!$C$5:$C$9</c:f>
              <c:numCache>
                <c:formatCode>0.00</c:formatCode>
                <c:ptCount val="5"/>
                <c:pt idx="0">
                  <c:v>1.65</c:v>
                </c:pt>
                <c:pt idx="1">
                  <c:v>1.65</c:v>
                </c:pt>
                <c:pt idx="2">
                  <c:v>1.7</c:v>
                </c:pt>
                <c:pt idx="3">
                  <c:v>1.65</c:v>
                </c:pt>
                <c:pt idx="4">
                  <c:v>1.85</c:v>
                </c:pt>
              </c:numCache>
            </c:numRef>
          </c:val>
        </c:ser>
        <c:gapWidth val="150"/>
        <c:overlap val="0"/>
        <c:axId val="55967626"/>
        <c:axId val="17080041"/>
      </c:barChart>
      <c:catAx>
        <c:axId val="559676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80041"/>
        <c:crosses val="autoZero"/>
        <c:auto val="1"/>
        <c:lblAlgn val="ctr"/>
        <c:lblOffset val="100"/>
        <c:noMultiLvlLbl val="0"/>
      </c:catAx>
      <c:valAx>
        <c:axId val="17080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676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14</xdr:col>
      <xdr:colOff>364680</xdr:colOff>
      <xdr:row>18</xdr:row>
      <xdr:rowOff>172080</xdr:rowOff>
    </xdr:to>
    <xdr:graphicFrame>
      <xdr:nvGraphicFramePr>
        <xdr:cNvPr id="0" name="Chart 1"/>
        <xdr:cNvGraphicFramePr/>
      </xdr:nvGraphicFramePr>
      <xdr:xfrm>
        <a:off x="45586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5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5" t="s">
        <v>8</v>
      </c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5" t="s">
        <v>10</v>
      </c>
    </row>
    <row r="18" customFormat="false" ht="15" hidden="false" customHeight="false" outlineLevel="0" collapsed="false">
      <c r="A18" s="3" t="s">
        <v>11</v>
      </c>
    </row>
    <row r="19" customFormat="false" ht="15" hidden="false" customHeight="false" outlineLevel="0" collapsed="false">
      <c r="A19" s="6" t="s">
        <v>12</v>
      </c>
    </row>
    <row r="20" customFormat="false" ht="15" hidden="false" customHeight="false" outlineLevel="0" collapsed="false">
      <c r="A20" s="6" t="s">
        <v>13</v>
      </c>
    </row>
    <row r="23" customFormat="false" ht="15" hidden="false" customHeight="false" outlineLevel="0" collapsed="false">
      <c r="A23" s="3" t="s">
        <v>14</v>
      </c>
    </row>
    <row r="24" customFormat="false" ht="15" hidden="false" customHeight="false" outlineLevel="0" collapsed="false">
      <c r="A24" s="7" t="s">
        <v>15</v>
      </c>
    </row>
    <row r="25" customFormat="false" ht="15" hidden="false" customHeight="false" outlineLevel="0" collapsed="false">
      <c r="A25" s="8" t="s">
        <v>16</v>
      </c>
    </row>
    <row r="26" customFormat="false" ht="15" hidden="false" customHeight="false" outlineLevel="0" collapsed="false">
      <c r="A26" s="9" t="s">
        <v>17</v>
      </c>
    </row>
    <row r="28" customFormat="false" ht="15" hidden="false" customHeight="false" outlineLevel="0" collapsed="false">
      <c r="A28" s="1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6"/>
  </cols>
  <sheetData>
    <row r="2" customFormat="false" ht="26.85" hidden="false" customHeight="false" outlineLevel="0" collapsed="false">
      <c r="A2" s="11" t="s">
        <v>19</v>
      </c>
      <c r="B2" s="11" t="s">
        <v>20</v>
      </c>
      <c r="C2" s="11" t="s">
        <v>21</v>
      </c>
      <c r="D2" s="11" t="s">
        <v>22</v>
      </c>
      <c r="E2" s="11" t="s">
        <v>23</v>
      </c>
      <c r="F2" s="11" t="s">
        <v>24</v>
      </c>
    </row>
    <row r="3" customFormat="false" ht="15" hidden="false" customHeight="false" outlineLevel="0" collapsed="false">
      <c r="A3" s="12" t="s">
        <v>25</v>
      </c>
      <c r="B3" s="12" t="s">
        <v>26</v>
      </c>
      <c r="C3" s="12" t="s">
        <v>27</v>
      </c>
      <c r="D3" s="13" t="n">
        <v>0.45</v>
      </c>
      <c r="E3" s="14" t="s">
        <v>28</v>
      </c>
      <c r="F3" s="14" t="s">
        <v>29</v>
      </c>
    </row>
    <row r="4" customFormat="false" ht="15" hidden="false" customHeight="false" outlineLevel="0" collapsed="false">
      <c r="A4" s="12" t="s">
        <v>30</v>
      </c>
      <c r="B4" s="12" t="s">
        <v>31</v>
      </c>
      <c r="C4" s="12" t="s">
        <v>27</v>
      </c>
      <c r="D4" s="13" t="n">
        <v>0.65</v>
      </c>
      <c r="E4" s="14" t="s">
        <v>28</v>
      </c>
      <c r="F4" s="14" t="s">
        <v>32</v>
      </c>
    </row>
    <row r="5" customFormat="false" ht="15" hidden="false" customHeight="false" outlineLevel="0" collapsed="false">
      <c r="A5" s="12" t="s">
        <v>33</v>
      </c>
      <c r="B5" s="12" t="s">
        <v>34</v>
      </c>
      <c r="C5" s="12" t="s">
        <v>35</v>
      </c>
      <c r="D5" s="13" t="n">
        <v>0.35</v>
      </c>
      <c r="E5" s="14" t="s">
        <v>28</v>
      </c>
      <c r="F5" s="14" t="s">
        <v>36</v>
      </c>
    </row>
    <row r="6" customFormat="false" ht="15" hidden="false" customHeight="false" outlineLevel="0" collapsed="false">
      <c r="A6" s="12" t="s">
        <v>37</v>
      </c>
      <c r="B6" s="12" t="s">
        <v>38</v>
      </c>
      <c r="C6" s="12" t="s">
        <v>35</v>
      </c>
      <c r="D6" s="13" t="n">
        <v>0.75</v>
      </c>
      <c r="E6" s="14" t="s">
        <v>32</v>
      </c>
      <c r="F6" s="14" t="s">
        <v>29</v>
      </c>
    </row>
    <row r="7" customFormat="false" ht="15" hidden="false" customHeight="false" outlineLevel="0" collapsed="false">
      <c r="A7" s="12" t="s">
        <v>39</v>
      </c>
      <c r="B7" s="12" t="s">
        <v>40</v>
      </c>
      <c r="C7" s="12" t="s">
        <v>27</v>
      </c>
      <c r="D7" s="13" t="n">
        <v>0.75</v>
      </c>
      <c r="E7" s="14" t="s">
        <v>32</v>
      </c>
      <c r="F7" s="14" t="s">
        <v>36</v>
      </c>
    </row>
    <row r="8" customFormat="false" ht="15" hidden="false" customHeight="false" outlineLevel="0" collapsed="false">
      <c r="A8" s="12" t="s">
        <v>41</v>
      </c>
      <c r="B8" s="12" t="s">
        <v>42</v>
      </c>
      <c r="C8" s="12" t="s">
        <v>27</v>
      </c>
      <c r="D8" s="13" t="n">
        <v>0.75</v>
      </c>
      <c r="E8" s="14" t="s">
        <v>43</v>
      </c>
      <c r="F8" s="14" t="s">
        <v>36</v>
      </c>
    </row>
    <row r="9" customFormat="false" ht="15" hidden="false" customHeight="false" outlineLevel="0" collapsed="false">
      <c r="A9" s="12" t="s">
        <v>44</v>
      </c>
      <c r="B9" s="12" t="s">
        <v>45</v>
      </c>
      <c r="C9" s="12" t="s">
        <v>27</v>
      </c>
      <c r="D9" s="13" t="n">
        <v>0.85</v>
      </c>
      <c r="E9" s="14" t="s">
        <v>43</v>
      </c>
      <c r="F9" s="14" t="s">
        <v>43</v>
      </c>
    </row>
    <row r="10" customFormat="false" ht="15" hidden="false" customHeight="false" outlineLevel="0" collapsed="false">
      <c r="A10" s="12" t="s">
        <v>46</v>
      </c>
      <c r="B10" s="12" t="s">
        <v>47</v>
      </c>
      <c r="C10" s="12" t="s">
        <v>27</v>
      </c>
      <c r="D10" s="13" t="n">
        <v>0.85</v>
      </c>
      <c r="E10" s="14" t="s">
        <v>29</v>
      </c>
      <c r="F10" s="14" t="s">
        <v>43</v>
      </c>
    </row>
    <row r="11" customFormat="false" ht="15" hidden="false" customHeight="false" outlineLevel="0" collapsed="false">
      <c r="A11" s="12" t="s">
        <v>48</v>
      </c>
      <c r="B11" s="12" t="s">
        <v>49</v>
      </c>
      <c r="C11" s="12" t="s">
        <v>35</v>
      </c>
      <c r="D11" s="13" t="n">
        <v>0.45</v>
      </c>
      <c r="E11" s="14" t="s">
        <v>29</v>
      </c>
      <c r="F11" s="14" t="s">
        <v>28</v>
      </c>
    </row>
    <row r="12" customFormat="false" ht="15" hidden="false" customHeight="false" outlineLevel="0" collapsed="false">
      <c r="A12" s="12" t="s">
        <v>50</v>
      </c>
      <c r="B12" s="12" t="s">
        <v>51</v>
      </c>
      <c r="C12" s="12" t="s">
        <v>35</v>
      </c>
      <c r="D12" s="13" t="n">
        <v>0.45</v>
      </c>
      <c r="E12" s="14" t="s">
        <v>29</v>
      </c>
      <c r="F12" s="14" t="s">
        <v>29</v>
      </c>
    </row>
    <row r="13" customFormat="false" ht="15" hidden="false" customHeight="false" outlineLevel="0" collapsed="false">
      <c r="A13" s="12" t="s">
        <v>52</v>
      </c>
      <c r="B13" s="12" t="s">
        <v>53</v>
      </c>
      <c r="C13" s="12" t="s">
        <v>35</v>
      </c>
      <c r="D13" s="13" t="n">
        <v>1</v>
      </c>
      <c r="E13" s="14" t="s">
        <v>36</v>
      </c>
      <c r="F13" s="14" t="s">
        <v>32</v>
      </c>
    </row>
    <row r="14" customFormat="false" ht="15" hidden="false" customHeight="false" outlineLevel="0" collapsed="false">
      <c r="A14" s="12" t="s">
        <v>54</v>
      </c>
      <c r="B14" s="12" t="s">
        <v>55</v>
      </c>
      <c r="C14" s="12" t="s">
        <v>56</v>
      </c>
      <c r="D14" s="13" t="n">
        <v>1.2</v>
      </c>
      <c r="E14" s="14" t="s">
        <v>36</v>
      </c>
      <c r="F14" s="14" t="s">
        <v>28</v>
      </c>
    </row>
    <row r="15" customFormat="false" ht="15" hidden="false" customHeight="false" outlineLevel="0" collapsed="false">
      <c r="C15" s="4" t="s">
        <v>57</v>
      </c>
      <c r="D15" s="15" t="n">
        <f aca="false">SUM(D3:D14)</f>
        <v>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6"/>
  </cols>
  <sheetData>
    <row r="2" customFormat="false" ht="26.85" hidden="false" customHeight="false" outlineLevel="0" collapsed="false">
      <c r="A2" s="11" t="s">
        <v>58</v>
      </c>
      <c r="B2" s="11" t="s">
        <v>59</v>
      </c>
      <c r="C2" s="11" t="s">
        <v>60</v>
      </c>
      <c r="D2" s="11" t="s">
        <v>61</v>
      </c>
    </row>
    <row r="3" customFormat="false" ht="15" hidden="false" customHeight="false" outlineLevel="0" collapsed="false">
      <c r="A3" s="14" t="s">
        <v>28</v>
      </c>
      <c r="B3" s="12" t="s">
        <v>62</v>
      </c>
      <c r="C3" s="16" t="n">
        <f aca="false">SUMIF('Operation Breakdown'!$E$3:$E$14,A3,'Operation Breakdown'!$D$3:$D$14)</f>
        <v>1.45</v>
      </c>
      <c r="D3" s="16" t="n">
        <f aca="false">MAX($C$3:$C$7)-C3</f>
        <v>0.75</v>
      </c>
    </row>
    <row r="4" customFormat="false" ht="15" hidden="false" customHeight="false" outlineLevel="0" collapsed="false">
      <c r="A4" s="14" t="s">
        <v>32</v>
      </c>
      <c r="B4" s="12" t="s">
        <v>63</v>
      </c>
      <c r="C4" s="16" t="n">
        <f aca="false">SUMIF('Operation Breakdown'!$E$3:$E$14,A4,'Operation Breakdown'!$D$3:$D$14)</f>
        <v>1.5</v>
      </c>
      <c r="D4" s="16" t="n">
        <f aca="false">MAX($C$3:$C$7)-C4</f>
        <v>0.7</v>
      </c>
    </row>
    <row r="5" customFormat="false" ht="15" hidden="false" customHeight="false" outlineLevel="0" collapsed="false">
      <c r="A5" s="14" t="s">
        <v>43</v>
      </c>
      <c r="B5" s="12" t="s">
        <v>64</v>
      </c>
      <c r="C5" s="16" t="n">
        <f aca="false">SUMIF('Operation Breakdown'!$E$3:$E$14,A5,'Operation Breakdown'!$D$3:$D$14)</f>
        <v>1.6</v>
      </c>
      <c r="D5" s="16" t="n">
        <f aca="false">MAX($C$3:$C$7)-C5</f>
        <v>0.6</v>
      </c>
    </row>
    <row r="6" customFormat="false" ht="15" hidden="false" customHeight="false" outlineLevel="0" collapsed="false">
      <c r="A6" s="14" t="s">
        <v>29</v>
      </c>
      <c r="B6" s="12" t="s">
        <v>65</v>
      </c>
      <c r="C6" s="16" t="n">
        <f aca="false">SUMIF('Operation Breakdown'!$E$3:$E$14,A6,'Operation Breakdown'!$D$3:$D$14)</f>
        <v>1.75</v>
      </c>
      <c r="D6" s="16" t="n">
        <f aca="false">MAX($C$3:$C$7)-C6</f>
        <v>0.45</v>
      </c>
    </row>
    <row r="7" customFormat="false" ht="15" hidden="false" customHeight="false" outlineLevel="0" collapsed="false">
      <c r="A7" s="14" t="s">
        <v>36</v>
      </c>
      <c r="B7" s="12" t="s">
        <v>66</v>
      </c>
      <c r="C7" s="16" t="n">
        <f aca="false">SUMIF('Operation Breakdown'!$E$3:$E$14,A7,'Operation Breakdown'!$D$3:$D$14)</f>
        <v>2.2</v>
      </c>
      <c r="D7" s="16" t="n">
        <f aca="false">MAX($C$3:$C$7)-C7</f>
        <v>0</v>
      </c>
    </row>
    <row r="9" customFormat="false" ht="15" hidden="false" customHeight="false" outlineLevel="0" collapsed="false">
      <c r="A9" s="4" t="s">
        <v>67</v>
      </c>
      <c r="B9" s="17" t="n">
        <f aca="false">'Operation Breakdown'!D15</f>
        <v>8.5</v>
      </c>
    </row>
    <row r="10" customFormat="false" ht="15" hidden="false" customHeight="false" outlineLevel="0" collapsed="false">
      <c r="A10" s="4" t="s">
        <v>68</v>
      </c>
      <c r="B10" s="4" t="n">
        <v>5</v>
      </c>
    </row>
    <row r="11" customFormat="false" ht="15" hidden="false" customHeight="false" outlineLevel="0" collapsed="false">
      <c r="A11" s="4" t="s">
        <v>69</v>
      </c>
      <c r="B11" s="17" t="n">
        <f aca="false">MAX(C3:C7)</f>
        <v>2.2</v>
      </c>
    </row>
    <row r="12" customFormat="false" ht="15" hidden="false" customHeight="false" outlineLevel="0" collapsed="false">
      <c r="A12" s="4" t="s">
        <v>70</v>
      </c>
      <c r="B12" s="18" t="n">
        <f aca="false">B9/(B10*B11)</f>
        <v>0.772727272727273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6"/>
  </cols>
  <sheetData>
    <row r="2" customFormat="false" ht="26.85" hidden="false" customHeight="false" outlineLevel="0" collapsed="false">
      <c r="A2" s="11" t="s">
        <v>58</v>
      </c>
      <c r="B2" s="11" t="s">
        <v>59</v>
      </c>
      <c r="C2" s="11" t="s">
        <v>60</v>
      </c>
      <c r="D2" s="11" t="s">
        <v>61</v>
      </c>
    </row>
    <row r="3" customFormat="false" ht="15" hidden="false" customHeight="false" outlineLevel="0" collapsed="false">
      <c r="A3" s="14" t="s">
        <v>28</v>
      </c>
      <c r="B3" s="12" t="s">
        <v>71</v>
      </c>
      <c r="C3" s="16" t="n">
        <f aca="false">SUMIF('Operation Breakdown'!$F$3:$F$14,A3,'Operation Breakdown'!$D$3:$D$14)</f>
        <v>1.65</v>
      </c>
      <c r="D3" s="16" t="n">
        <f aca="false">MAX($C$3:$C$7)-C3</f>
        <v>0.2</v>
      </c>
    </row>
    <row r="4" customFormat="false" ht="15" hidden="false" customHeight="false" outlineLevel="0" collapsed="false">
      <c r="A4" s="14" t="s">
        <v>32</v>
      </c>
      <c r="B4" s="12" t="s">
        <v>72</v>
      </c>
      <c r="C4" s="16" t="n">
        <f aca="false">SUMIF('Operation Breakdown'!$F$3:$F$14,A4,'Operation Breakdown'!$D$3:$D$14)</f>
        <v>1.65</v>
      </c>
      <c r="D4" s="16" t="n">
        <f aca="false">MAX($C$3:$C$7)-C4</f>
        <v>0.2</v>
      </c>
    </row>
    <row r="5" customFormat="false" ht="15" hidden="false" customHeight="false" outlineLevel="0" collapsed="false">
      <c r="A5" s="14" t="s">
        <v>43</v>
      </c>
      <c r="B5" s="12" t="s">
        <v>73</v>
      </c>
      <c r="C5" s="16" t="n">
        <f aca="false">SUMIF('Operation Breakdown'!$F$3:$F$14,A5,'Operation Breakdown'!$D$3:$D$14)</f>
        <v>1.7</v>
      </c>
      <c r="D5" s="16" t="n">
        <f aca="false">MAX($C$3:$C$7)-C5</f>
        <v>0.15</v>
      </c>
    </row>
    <row r="6" customFormat="false" ht="15" hidden="false" customHeight="false" outlineLevel="0" collapsed="false">
      <c r="A6" s="14" t="s">
        <v>29</v>
      </c>
      <c r="B6" s="12" t="s">
        <v>74</v>
      </c>
      <c r="C6" s="16" t="n">
        <f aca="false">SUMIF('Operation Breakdown'!$F$3:$F$14,A6,'Operation Breakdown'!$D$3:$D$14)</f>
        <v>1.65</v>
      </c>
      <c r="D6" s="16" t="n">
        <f aca="false">MAX($C$3:$C$7)-C6</f>
        <v>0.2</v>
      </c>
    </row>
    <row r="7" customFormat="false" ht="15" hidden="false" customHeight="false" outlineLevel="0" collapsed="false">
      <c r="A7" s="14" t="s">
        <v>36</v>
      </c>
      <c r="B7" s="12" t="s">
        <v>75</v>
      </c>
      <c r="C7" s="16" t="n">
        <f aca="false">SUMIF('Operation Breakdown'!$F$3:$F$14,A7,'Operation Breakdown'!$D$3:$D$14)</f>
        <v>1.85</v>
      </c>
      <c r="D7" s="16" t="n">
        <f aca="false">MAX($C$3:$C$7)-C7</f>
        <v>0</v>
      </c>
    </row>
    <row r="9" customFormat="false" ht="15" hidden="false" customHeight="false" outlineLevel="0" collapsed="false">
      <c r="A9" s="4" t="s">
        <v>67</v>
      </c>
      <c r="B9" s="17" t="n">
        <f aca="false">'Operation Breakdown'!D15</f>
        <v>8.5</v>
      </c>
    </row>
    <row r="10" customFormat="false" ht="15" hidden="false" customHeight="false" outlineLevel="0" collapsed="false">
      <c r="A10" s="4" t="s">
        <v>68</v>
      </c>
      <c r="B10" s="4" t="n">
        <v>5</v>
      </c>
    </row>
    <row r="11" customFormat="false" ht="15" hidden="false" customHeight="false" outlineLevel="0" collapsed="false">
      <c r="A11" s="4" t="s">
        <v>69</v>
      </c>
      <c r="B11" s="17" t="n">
        <f aca="false">MAX(C3:C7)</f>
        <v>1.85</v>
      </c>
    </row>
    <row r="12" customFormat="false" ht="15" hidden="false" customHeight="false" outlineLevel="0" collapsed="false">
      <c r="A12" s="4" t="s">
        <v>70</v>
      </c>
      <c r="B12" s="18" t="n">
        <f aca="false">B9/(B10*B11)</f>
        <v>0.918918918918919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</cols>
  <sheetData>
    <row r="1" customFormat="false" ht="19.7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26.85" hidden="false" customHeight="false" outlineLevel="0" collapsed="false">
      <c r="A4" s="11" t="s">
        <v>58</v>
      </c>
      <c r="B4" s="11" t="s">
        <v>78</v>
      </c>
      <c r="C4" s="11" t="s">
        <v>79</v>
      </c>
    </row>
    <row r="5" customFormat="false" ht="15" hidden="false" customHeight="false" outlineLevel="0" collapsed="false">
      <c r="A5" s="12" t="s">
        <v>28</v>
      </c>
      <c r="B5" s="16" t="n">
        <f aca="false">'Line Balance - Before'!C3</f>
        <v>1.45</v>
      </c>
      <c r="C5" s="16" t="n">
        <f aca="false">'Line Balance - After'!C3</f>
        <v>1.65</v>
      </c>
    </row>
    <row r="6" customFormat="false" ht="15" hidden="false" customHeight="false" outlineLevel="0" collapsed="false">
      <c r="A6" s="12" t="s">
        <v>32</v>
      </c>
      <c r="B6" s="16" t="n">
        <f aca="false">'Line Balance - Before'!C4</f>
        <v>1.5</v>
      </c>
      <c r="C6" s="16" t="n">
        <f aca="false">'Line Balance - After'!C4</f>
        <v>1.65</v>
      </c>
    </row>
    <row r="7" customFormat="false" ht="15" hidden="false" customHeight="false" outlineLevel="0" collapsed="false">
      <c r="A7" s="12" t="s">
        <v>43</v>
      </c>
      <c r="B7" s="16" t="n">
        <f aca="false">'Line Balance - Before'!C5</f>
        <v>1.6</v>
      </c>
      <c r="C7" s="16" t="n">
        <f aca="false">'Line Balance - After'!C5</f>
        <v>1.7</v>
      </c>
    </row>
    <row r="8" customFormat="false" ht="15" hidden="false" customHeight="false" outlineLevel="0" collapsed="false">
      <c r="A8" s="12" t="s">
        <v>29</v>
      </c>
      <c r="B8" s="16" t="n">
        <f aca="false">'Line Balance - Before'!C6</f>
        <v>1.75</v>
      </c>
      <c r="C8" s="16" t="n">
        <f aca="false">'Line Balance - After'!C6</f>
        <v>1.65</v>
      </c>
    </row>
    <row r="9" customFormat="false" ht="15" hidden="false" customHeight="false" outlineLevel="0" collapsed="false">
      <c r="A9" s="12" t="s">
        <v>36</v>
      </c>
      <c r="B9" s="16" t="n">
        <f aca="false">'Line Balance - Before'!C7</f>
        <v>2.2</v>
      </c>
      <c r="C9" s="16" t="n">
        <f aca="false">'Line Balance - After'!C7</f>
        <v>1.85</v>
      </c>
    </row>
    <row r="12" customFormat="false" ht="15" hidden="false" customHeight="false" outlineLevel="0" collapsed="false">
      <c r="A12" s="19" t="s">
        <v>80</v>
      </c>
      <c r="B12" s="19" t="s">
        <v>81</v>
      </c>
      <c r="C12" s="19" t="s">
        <v>82</v>
      </c>
    </row>
    <row r="13" customFormat="false" ht="15" hidden="false" customHeight="false" outlineLevel="0" collapsed="false">
      <c r="A13" s="12" t="s">
        <v>83</v>
      </c>
      <c r="B13" s="16" t="n">
        <f aca="false">'Line Balance - Before'!B11</f>
        <v>2.2</v>
      </c>
      <c r="C13" s="16" t="n">
        <f aca="false">'Line Balance - After'!B11</f>
        <v>1.85</v>
      </c>
    </row>
    <row r="14" customFormat="false" ht="15" hidden="false" customHeight="false" outlineLevel="0" collapsed="false">
      <c r="A14" s="12" t="s">
        <v>84</v>
      </c>
      <c r="B14" s="20" t="n">
        <f aca="false">'Line Balance - Before'!B12</f>
        <v>0.772727272727273</v>
      </c>
      <c r="C14" s="21" t="n">
        <f aca="false">'Line Balance - After'!B12</f>
        <v>0.918918918918919</v>
      </c>
    </row>
    <row r="15" customFormat="false" ht="15" hidden="false" customHeight="false" outlineLevel="0" collapsed="false">
      <c r="A15" s="22" t="s">
        <v>85</v>
      </c>
      <c r="B15" s="23"/>
      <c r="C15" s="24" t="n">
        <f aca="false">C14-B14</f>
        <v>0.146191646191646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2026-08-17T16:21:27Z</dcterms:created>
  <dc:creator>openpyxl</dc:creator>
  <dc:description/>
  <dc:language>en-US</dc:language>
  <cp:lastModifiedBy/>
  <dcterms:modified xsi:type="dcterms:W3CDTF">2026-08-17T16:21:31Z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